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 Analysis" sheetId="1" state="visible" r:id="rId1"/>
    <sheet name="Growth Analysis" sheetId="2" state="visible" r:id="rId2"/>
    <sheet name="Cash Flow Analysis" sheetId="3" state="visible" r:id="rId3"/>
    <sheet name="Anomaly Detection" sheetId="4" state="visible" r:id="rId4"/>
    <sheet name="Growth Analysis1" sheetId="5" state="visible" r:id="rId5"/>
    <sheet name="Cash Flow Analysis1" sheetId="6" state="visible" r:id="rId6"/>
    <sheet name="Anomaly Detection1" sheetId="7" state="visible" r:id="rId7"/>
    <sheet name="Growth Analysis2" sheetId="8" state="visible" r:id="rId8"/>
    <sheet name="Cash Flow Analysis2" sheetId="9" state="visible" r:id="rId9"/>
    <sheet name="Anomaly Detection2" sheetId="10" state="visible" r:id="rId10"/>
    <sheet name="Growth Analysis3" sheetId="11" state="visible" r:id="rId11"/>
    <sheet name="Cash Flow Analysis3" sheetId="12" state="visible" r:id="rId12"/>
    <sheet name="Anomaly Detection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1F3864"/>
      <sz val="10"/>
    </font>
    <font>
      <name val="Arial"/>
      <b val="1"/>
    </font>
    <font>
      <name val="Arial"/>
      <sz val="10"/>
    </font>
    <font>
      <name val="Arial"/>
      <b val="1"/>
      <color rgb="FF2E7D32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  <col width="20" customWidth="1" min="3" max="3"/>
  </cols>
  <sheetData>
    <row r="1">
      <c r="A1" s="1" t="inlineStr">
        <is>
          <t>NOVATECH FY2024 — RATIO ANALYSIS</t>
        </is>
      </c>
    </row>
    <row r="2">
      <c r="A2" s="2" t="inlineStr">
        <is>
          <t>PROFITABILITY RATIOS</t>
        </is>
      </c>
      <c r="B2" s="3" t="inlineStr">
        <is>
          <t>value</t>
        </is>
      </c>
      <c r="C2" s="3" t="inlineStr">
        <is>
          <t>benchmark</t>
        </is>
      </c>
    </row>
    <row r="3">
      <c r="A3" s="4" t="inlineStr">
        <is>
          <t>Gross Profit Margin</t>
        </is>
      </c>
      <c r="B3" t="inlineStr">
        <is>
          <t>See Python Output</t>
        </is>
      </c>
      <c r="C3" t="inlineStr"/>
    </row>
    <row r="4">
      <c r="A4" s="4" t="inlineStr">
        <is>
          <t>EBITDA Margin</t>
        </is>
      </c>
      <c r="B4" t="inlineStr">
        <is>
          <t>See Python Output</t>
        </is>
      </c>
      <c r="C4" t="inlineStr"/>
    </row>
    <row r="5">
      <c r="A5" s="4" t="inlineStr">
        <is>
          <t>Net Profit Margin</t>
        </is>
      </c>
      <c r="B5" t="inlineStr">
        <is>
          <t>See Python Output</t>
        </is>
      </c>
      <c r="C5" t="inlineStr"/>
    </row>
    <row r="7">
      <c r="A7" s="2" t="inlineStr">
        <is>
          <t>LIQUIDITY RATIOS</t>
        </is>
      </c>
      <c r="B7" s="3" t="inlineStr">
        <is>
          <t>value</t>
        </is>
      </c>
      <c r="C7" s="3" t="inlineStr">
        <is>
          <t>benchmark</t>
        </is>
      </c>
    </row>
    <row r="8">
      <c r="A8" s="4" t="inlineStr">
        <is>
          <t>Current Ratio</t>
        </is>
      </c>
      <c r="B8" t="inlineStr">
        <is>
          <t>See Python Output</t>
        </is>
      </c>
      <c r="C8" t="inlineStr"/>
    </row>
    <row r="9">
      <c r="A9" s="4" t="inlineStr">
        <is>
          <t>Working Capital (₹)</t>
        </is>
      </c>
      <c r="B9" t="inlineStr">
        <is>
          <t>See Python Output</t>
        </is>
      </c>
      <c r="C9" t="inlineStr"/>
    </row>
    <row r="11">
      <c r="A11" s="2" t="inlineStr">
        <is>
          <t>SOLVENCY RATIOS</t>
        </is>
      </c>
      <c r="B11" s="3" t="inlineStr">
        <is>
          <t>value</t>
        </is>
      </c>
      <c r="C11" s="3" t="inlineStr">
        <is>
          <t>benchmark</t>
        </is>
      </c>
    </row>
    <row r="12">
      <c r="A12" s="4" t="inlineStr">
        <is>
          <t>Debt to Equity</t>
        </is>
      </c>
      <c r="B12" t="inlineStr">
        <is>
          <t>See Python Output</t>
        </is>
      </c>
      <c r="C12" t="inlineStr"/>
    </row>
    <row r="13">
      <c r="A13" s="4" t="inlineStr">
        <is>
          <t>Interest Coverage</t>
        </is>
      </c>
      <c r="B13" t="inlineStr">
        <is>
          <t>See Python Output</t>
        </is>
      </c>
      <c r="C13" t="inlineStr"/>
    </row>
    <row r="15">
      <c r="A15" s="2" t="inlineStr">
        <is>
          <t>ACTIVITY RATIOS</t>
        </is>
      </c>
      <c r="B15" s="3" t="inlineStr">
        <is>
          <t>value</t>
        </is>
      </c>
      <c r="C15" s="3" t="inlineStr">
        <is>
          <t>benchmark</t>
        </is>
      </c>
    </row>
    <row r="16">
      <c r="A16" s="4" t="inlineStr">
        <is>
          <t>Working Capital Turnover</t>
        </is>
      </c>
      <c r="B16" t="inlineStr">
        <is>
          <t>See Python Output</t>
        </is>
      </c>
      <c r="C16" t="inlineStr"/>
    </row>
    <row r="17">
      <c r="A17" s="4" t="inlineStr">
        <is>
          <t>Fixed Asset Turnover</t>
        </is>
      </c>
      <c r="B17" t="inlineStr">
        <is>
          <t>See Python Output</t>
        </is>
      </c>
      <c r="C17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NOVATECH FY2024 — GROWTH ANALYSIS</t>
        </is>
      </c>
    </row>
    <row r="2">
      <c r="A2" s="2" t="inlineStr">
        <is>
          <t>month</t>
        </is>
      </c>
      <c r="B2" s="2" t="inlineStr">
        <is>
          <t>revenue growth%</t>
        </is>
      </c>
      <c r="C2" s="2" t="inlineStr">
        <is>
          <t>profit growth%</t>
        </is>
      </c>
      <c r="D2" s="2" t="inlineStr">
        <is>
          <t>gross margin%</t>
        </is>
      </c>
    </row>
    <row r="3">
      <c r="A3" t="inlineStr">
        <is>
          <t>January</t>
        </is>
      </c>
      <c r="B3" t="inlineStr">
        <is>
          <t>Base</t>
        </is>
      </c>
      <c r="C3" t="inlineStr">
        <is>
          <t>Base</t>
        </is>
      </c>
      <c r="D3" t="n">
        <v>59</v>
      </c>
    </row>
    <row r="4">
      <c r="A4" t="inlineStr">
        <is>
          <t>February</t>
        </is>
      </c>
      <c r="B4" t="n">
        <v>5.43</v>
      </c>
      <c r="C4" t="n">
        <v>4.41</v>
      </c>
      <c r="D4" t="n">
        <v>56.37</v>
      </c>
    </row>
    <row r="5">
      <c r="A5" t="inlineStr">
        <is>
          <t>March</t>
        </is>
      </c>
      <c r="B5" t="n">
        <v>0.35</v>
      </c>
      <c r="C5" t="n">
        <v>-9.359999999999999</v>
      </c>
      <c r="D5" t="n">
        <v>57.15</v>
      </c>
    </row>
    <row r="6">
      <c r="A6" t="inlineStr">
        <is>
          <t>April</t>
        </is>
      </c>
      <c r="B6" t="n">
        <v>3.06</v>
      </c>
      <c r="C6" t="n">
        <v>3.07</v>
      </c>
      <c r="D6" t="n">
        <v>56.39</v>
      </c>
    </row>
    <row r="7">
      <c r="A7" t="inlineStr">
        <is>
          <t>May</t>
        </is>
      </c>
      <c r="B7" t="n">
        <v>-3.62</v>
      </c>
      <c r="C7" t="n">
        <v>18.99</v>
      </c>
      <c r="D7" t="n">
        <v>60.8</v>
      </c>
    </row>
    <row r="8">
      <c r="A8" t="inlineStr">
        <is>
          <t>June</t>
        </is>
      </c>
      <c r="B8" t="n">
        <v>2.52</v>
      </c>
      <c r="C8" t="n">
        <v>-14.04</v>
      </c>
      <c r="D8" t="n">
        <v>57.52</v>
      </c>
    </row>
    <row r="9">
      <c r="A9" t="inlineStr">
        <is>
          <t>July</t>
        </is>
      </c>
      <c r="B9" t="n">
        <v>5.11</v>
      </c>
      <c r="C9" t="n">
        <v>10.87</v>
      </c>
      <c r="D9" t="n">
        <v>59.54</v>
      </c>
    </row>
    <row r="10">
      <c r="A10" t="inlineStr">
        <is>
          <t>August</t>
        </is>
      </c>
      <c r="B10" t="n">
        <v>1.76</v>
      </c>
      <c r="C10" t="n">
        <v>-2.83</v>
      </c>
      <c r="D10" t="n">
        <v>58.2</v>
      </c>
    </row>
    <row r="11">
      <c r="A11" t="inlineStr">
        <is>
          <t>September</t>
        </is>
      </c>
      <c r="B11" t="n">
        <v>-2.48</v>
      </c>
      <c r="C11" t="n">
        <v>20.2</v>
      </c>
      <c r="D11" t="n">
        <v>60.28</v>
      </c>
    </row>
    <row r="12">
      <c r="A12" t="inlineStr">
        <is>
          <t>October</t>
        </is>
      </c>
      <c r="B12" t="n">
        <v>3.91</v>
      </c>
      <c r="C12" t="n">
        <v>3.4</v>
      </c>
      <c r="D12" t="n">
        <v>60.58</v>
      </c>
    </row>
    <row r="13">
      <c r="A13" t="inlineStr">
        <is>
          <t>November</t>
        </is>
      </c>
      <c r="B13" t="n">
        <v>-1.92</v>
      </c>
      <c r="C13" t="n">
        <v>-8.23</v>
      </c>
      <c r="D13" t="n">
        <v>61.83</v>
      </c>
    </row>
    <row r="14">
      <c r="A14" t="inlineStr">
        <is>
          <t>December</t>
        </is>
      </c>
      <c r="B14" t="n">
        <v>2.28</v>
      </c>
      <c r="C14" t="n">
        <v>-10.81</v>
      </c>
      <c r="D14" t="n">
        <v>59.09</v>
      </c>
    </row>
    <row r="16">
      <c r="A16" t="inlineStr">
        <is>
          <t>Avg Monthly Rev Growth</t>
        </is>
      </c>
      <c r="B16" t="n">
        <v>1.49</v>
      </c>
      <c r="C16" t="inlineStr"/>
      <c r="D16" t="inlineStr"/>
    </row>
    <row r="17">
      <c r="A17" t="inlineStr">
        <is>
          <t>Avg Monthly Pft Growth</t>
        </is>
      </c>
      <c r="B17" t="n">
        <v>1.42</v>
      </c>
      <c r="C17" t="inlineStr"/>
      <c r="D17" t="inlineStr"/>
    </row>
    <row r="18">
      <c r="A18" t="inlineStr">
        <is>
          <t>Full Year Rev Growth</t>
        </is>
      </c>
      <c r="B18" t="n">
        <v>17.14</v>
      </c>
      <c r="C18" t="inlineStr"/>
      <c r="D18" t="inlineStr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NOVATECH FY2024 — CASH FLOW ANALYSIS</t>
        </is>
      </c>
    </row>
    <row r="2">
      <c r="A2" s="2" t="inlineStr">
        <is>
          <t>Month</t>
        </is>
      </c>
      <c r="B2" s="2" t="inlineStr">
        <is>
          <t>Operating CF</t>
        </is>
      </c>
      <c r="C2" s="2" t="inlineStr">
        <is>
          <t>Investing CF</t>
        </is>
      </c>
      <c r="D2" s="2" t="inlineStr">
        <is>
          <t>Financing CF</t>
        </is>
      </c>
      <c r="E2" s="2" t="inlineStr">
        <is>
          <t>Net Cash Flow</t>
        </is>
      </c>
    </row>
    <row r="3">
      <c r="A3" t="inlineStr">
        <is>
          <t>January</t>
        </is>
      </c>
      <c r="B3" t="n">
        <v>549265.14</v>
      </c>
      <c r="C3" t="n">
        <v>-254895.06</v>
      </c>
      <c r="D3" t="n">
        <v>32534.76</v>
      </c>
      <c r="E3" t="n">
        <v>326904.84</v>
      </c>
    </row>
    <row r="4">
      <c r="A4" t="inlineStr">
        <is>
          <t>February</t>
        </is>
      </c>
      <c r="B4" t="n">
        <v>507578.04</v>
      </c>
      <c r="C4" t="n">
        <v>-275887.22</v>
      </c>
      <c r="D4" t="n">
        <v>-172925.36</v>
      </c>
      <c r="E4" t="n">
        <v>58765.46</v>
      </c>
    </row>
    <row r="5">
      <c r="A5" t="inlineStr">
        <is>
          <t>March</t>
        </is>
      </c>
      <c r="B5" t="n">
        <v>529946.39</v>
      </c>
      <c r="C5" t="n">
        <v>-206702.28</v>
      </c>
      <c r="D5" t="n">
        <v>-105976.9</v>
      </c>
      <c r="E5" t="n">
        <v>217267.21</v>
      </c>
    </row>
    <row r="6">
      <c r="A6" t="inlineStr">
        <is>
          <t>April</t>
        </is>
      </c>
      <c r="B6" t="n">
        <v>599700.25</v>
      </c>
      <c r="C6" t="n">
        <v>-215690.91</v>
      </c>
      <c r="D6" t="n">
        <v>41752.48</v>
      </c>
      <c r="E6" t="n">
        <v>425761.82</v>
      </c>
    </row>
    <row r="7">
      <c r="A7" t="inlineStr">
        <is>
          <t>May</t>
        </is>
      </c>
      <c r="B7" t="n">
        <v>573187.6899999999</v>
      </c>
      <c r="C7" t="n">
        <v>-166124.98</v>
      </c>
      <c r="D7" t="n">
        <v>-134597.48</v>
      </c>
      <c r="E7" t="n">
        <v>272465.23</v>
      </c>
    </row>
    <row r="8">
      <c r="A8" t="inlineStr">
        <is>
          <t>June</t>
        </is>
      </c>
      <c r="B8" t="n">
        <v>382044.2</v>
      </c>
      <c r="C8" t="n">
        <v>-346472.84</v>
      </c>
      <c r="D8" t="n">
        <v>-117635.8</v>
      </c>
      <c r="E8" t="n">
        <v>-82064.44</v>
      </c>
    </row>
    <row r="9">
      <c r="A9" t="inlineStr">
        <is>
          <t>July</t>
        </is>
      </c>
      <c r="B9" t="n">
        <v>472512.67</v>
      </c>
      <c r="C9" t="n">
        <v>-184275.02</v>
      </c>
      <c r="D9" t="n">
        <v>-183222.38</v>
      </c>
      <c r="E9" t="n">
        <v>105015.27</v>
      </c>
    </row>
    <row r="10">
      <c r="A10" t="inlineStr">
        <is>
          <t>August</t>
        </is>
      </c>
      <c r="B10" t="n">
        <v>510040.99</v>
      </c>
      <c r="C10" t="n">
        <v>-225095.57</v>
      </c>
      <c r="D10" t="n">
        <v>-166111.6</v>
      </c>
      <c r="E10" t="n">
        <v>118833.82</v>
      </c>
    </row>
    <row r="11">
      <c r="A11" t="inlineStr">
        <is>
          <t>September</t>
        </is>
      </c>
      <c r="B11" t="n">
        <v>513723.51</v>
      </c>
      <c r="C11" t="n">
        <v>-281286.47</v>
      </c>
      <c r="D11" t="n">
        <v>-126095.99</v>
      </c>
      <c r="E11" t="n">
        <v>106341.05</v>
      </c>
    </row>
    <row r="12">
      <c r="A12" t="inlineStr">
        <is>
          <t>October</t>
        </is>
      </c>
      <c r="B12" t="n">
        <v>433320.13</v>
      </c>
      <c r="C12" t="n">
        <v>-203931.69</v>
      </c>
      <c r="D12" t="n">
        <v>-156526.54</v>
      </c>
      <c r="E12" t="n">
        <v>72861.89999999999</v>
      </c>
    </row>
    <row r="13">
      <c r="A13" t="inlineStr">
        <is>
          <t>November</t>
        </is>
      </c>
      <c r="B13" t="n">
        <v>492566.53</v>
      </c>
      <c r="C13" t="n">
        <v>-308065.18</v>
      </c>
      <c r="D13" t="n">
        <v>-107548.58</v>
      </c>
      <c r="E13" t="n">
        <v>76952.77</v>
      </c>
    </row>
    <row r="14">
      <c r="A14" t="inlineStr">
        <is>
          <t>December</t>
        </is>
      </c>
      <c r="B14" t="n">
        <v>543619.28</v>
      </c>
      <c r="C14" t="n">
        <v>-173692.64</v>
      </c>
      <c r="D14" t="n">
        <v>-189557.17</v>
      </c>
      <c r="E14" t="n">
        <v>180369.47</v>
      </c>
    </row>
    <row r="15">
      <c r="A15" s="5" t="inlineStr">
        <is>
          <t>TOTAL</t>
        </is>
      </c>
      <c r="B15" s="5">
        <f>SUM(B3:B14)</f>
        <v/>
      </c>
      <c r="C15" s="5">
        <f>SUM(C3:C14)</f>
        <v/>
      </c>
      <c r="D15" s="5">
        <f>SUM(D3:D14)</f>
        <v/>
      </c>
      <c r="E15" s="5">
        <f>SUM(E3:E14)</f>
        <v/>
      </c>
    </row>
    <row r="17">
      <c r="A17" t="inlineStr">
        <is>
          <t>Opening Balance</t>
        </is>
      </c>
      <c r="B17" t="n">
        <v>7500000</v>
      </c>
    </row>
    <row r="18">
      <c r="A18" t="inlineStr">
        <is>
          <t>Closing Balance</t>
        </is>
      </c>
      <c r="B18" t="n">
        <v>9379474.4</v>
      </c>
    </row>
    <row r="19">
      <c r="A19" t="inlineStr">
        <is>
          <t>Cash Growth %</t>
        </is>
      </c>
      <c r="B19" t="n">
        <v>25.06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NOVATECH FY2024 — ANOMALY DETECTION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Revenue Z-Score</t>
        </is>
      </c>
      <c r="D2" s="2" t="inlineStr">
        <is>
          <t>Net Profit</t>
        </is>
      </c>
      <c r="E2" s="2" t="inlineStr">
        <is>
          <t>Profit Z-Score</t>
        </is>
      </c>
    </row>
    <row r="3">
      <c r="A3" t="inlineStr">
        <is>
          <t>January</t>
        </is>
      </c>
      <c r="B3" t="n">
        <v>4182822.93</v>
      </c>
      <c r="C3" t="n">
        <v>-1.86</v>
      </c>
      <c r="D3" t="n">
        <v>895331.39</v>
      </c>
      <c r="E3" t="n">
        <v>-0.83</v>
      </c>
    </row>
    <row r="4">
      <c r="A4" t="inlineStr">
        <is>
          <t>February</t>
        </is>
      </c>
      <c r="B4" t="n">
        <v>4410073.56</v>
      </c>
      <c r="C4" t="n">
        <v>-0.87</v>
      </c>
      <c r="D4" t="n">
        <v>934839.66</v>
      </c>
      <c r="E4" t="n">
        <v>-0.48</v>
      </c>
    </row>
    <row r="5">
      <c r="A5" t="inlineStr">
        <is>
          <t>March</t>
        </is>
      </c>
      <c r="B5" t="n">
        <v>4425321.53</v>
      </c>
      <c r="C5" t="n">
        <v>-0.8</v>
      </c>
      <c r="D5" t="n">
        <v>847330.1800000001</v>
      </c>
      <c r="E5" t="n">
        <v>-1.25</v>
      </c>
    </row>
    <row r="6">
      <c r="A6" t="inlineStr">
        <is>
          <t>April</t>
        </is>
      </c>
      <c r="B6" t="n">
        <v>4560673.99</v>
      </c>
      <c r="C6" t="n">
        <v>-0.21</v>
      </c>
      <c r="D6" t="n">
        <v>873340.36</v>
      </c>
      <c r="E6" t="n">
        <v>-1.02</v>
      </c>
    </row>
    <row r="7">
      <c r="A7" t="inlineStr">
        <is>
          <t>May</t>
        </is>
      </c>
      <c r="B7" t="n">
        <v>4395771.94</v>
      </c>
      <c r="C7" t="n">
        <v>-0.93</v>
      </c>
      <c r="D7" t="n">
        <v>1039199.77</v>
      </c>
      <c r="E7" t="n">
        <v>0.45</v>
      </c>
    </row>
    <row r="8">
      <c r="A8" t="inlineStr">
        <is>
          <t>June</t>
        </is>
      </c>
      <c r="B8" t="n">
        <v>4506685.92</v>
      </c>
      <c r="C8" t="n">
        <v>-0.45</v>
      </c>
      <c r="D8" t="n">
        <v>893277.6</v>
      </c>
      <c r="E8" t="n">
        <v>-0.85</v>
      </c>
    </row>
    <row r="9">
      <c r="A9" t="inlineStr">
        <is>
          <t>July</t>
        </is>
      </c>
      <c r="B9" t="n">
        <v>4736824.21</v>
      </c>
      <c r="C9" t="n">
        <v>0.5600000000000001</v>
      </c>
      <c r="D9" t="n">
        <v>990374.83</v>
      </c>
      <c r="E9" t="n">
        <v>0.01</v>
      </c>
    </row>
    <row r="10">
      <c r="A10" t="inlineStr">
        <is>
          <t>August</t>
        </is>
      </c>
      <c r="B10" t="n">
        <v>4820039.53</v>
      </c>
      <c r="C10" t="n">
        <v>0.92</v>
      </c>
      <c r="D10" t="n">
        <v>962343.79</v>
      </c>
      <c r="E10" t="n">
        <v>-0.23</v>
      </c>
    </row>
    <row r="11">
      <c r="A11" t="inlineStr">
        <is>
          <t>September</t>
        </is>
      </c>
      <c r="B11" t="n">
        <v>4700338.68</v>
      </c>
      <c r="C11" t="n">
        <v>0.4</v>
      </c>
      <c r="D11" t="n">
        <v>1156784.83</v>
      </c>
      <c r="E11" t="n">
        <v>1.49</v>
      </c>
    </row>
    <row r="12">
      <c r="A12" t="inlineStr">
        <is>
          <t>October</t>
        </is>
      </c>
      <c r="B12" t="n">
        <v>4884150.55</v>
      </c>
      <c r="C12" t="n">
        <v>1.2</v>
      </c>
      <c r="D12" t="n">
        <v>1196091.36</v>
      </c>
      <c r="E12" t="n">
        <v>1.83</v>
      </c>
    </row>
    <row r="13">
      <c r="A13" t="inlineStr">
        <is>
          <t>November</t>
        </is>
      </c>
      <c r="B13" t="n">
        <v>4790235.92</v>
      </c>
      <c r="C13" t="n">
        <v>0.79</v>
      </c>
      <c r="D13" t="n">
        <v>1097616.92</v>
      </c>
      <c r="E13" t="n">
        <v>0.96</v>
      </c>
    </row>
    <row r="14">
      <c r="A14" t="inlineStr">
        <is>
          <t>December</t>
        </is>
      </c>
      <c r="B14" t="n">
        <v>4899662.34</v>
      </c>
      <c r="C14" t="n">
        <v>1.27</v>
      </c>
      <c r="D14" t="n">
        <v>978950.6</v>
      </c>
      <c r="E14" t="n">
        <v>-0.09</v>
      </c>
    </row>
    <row r="16">
      <c r="A16" s="6" t="inlineStr">
        <is>
          <t>No anomalies detected (all Z-scores within ±2)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NOVATECH FY2024 — GROWTH ANALYSIS</t>
        </is>
      </c>
    </row>
    <row r="2">
      <c r="A2" s="2" t="inlineStr">
        <is>
          <t>month</t>
        </is>
      </c>
      <c r="B2" s="2" t="inlineStr">
        <is>
          <t>revenue growth%</t>
        </is>
      </c>
      <c r="C2" s="2" t="inlineStr">
        <is>
          <t>profit growth%</t>
        </is>
      </c>
      <c r="D2" s="2" t="inlineStr">
        <is>
          <t>gross margin%</t>
        </is>
      </c>
    </row>
    <row r="3">
      <c r="A3" t="inlineStr">
        <is>
          <t>January</t>
        </is>
      </c>
      <c r="B3" t="inlineStr">
        <is>
          <t>Base</t>
        </is>
      </c>
      <c r="C3" t="inlineStr">
        <is>
          <t>Base</t>
        </is>
      </c>
      <c r="D3" t="n">
        <v>59</v>
      </c>
    </row>
    <row r="4">
      <c r="A4" t="inlineStr">
        <is>
          <t>February</t>
        </is>
      </c>
      <c r="B4" t="n">
        <v>5.43</v>
      </c>
      <c r="C4" t="n">
        <v>4.41</v>
      </c>
      <c r="D4" t="n">
        <v>56.37</v>
      </c>
    </row>
    <row r="5">
      <c r="A5" t="inlineStr">
        <is>
          <t>March</t>
        </is>
      </c>
      <c r="B5" t="n">
        <v>0.35</v>
      </c>
      <c r="C5" t="n">
        <v>-9.359999999999999</v>
      </c>
      <c r="D5" t="n">
        <v>57.15</v>
      </c>
    </row>
    <row r="6">
      <c r="A6" t="inlineStr">
        <is>
          <t>April</t>
        </is>
      </c>
      <c r="B6" t="n">
        <v>3.06</v>
      </c>
      <c r="C6" t="n">
        <v>3.07</v>
      </c>
      <c r="D6" t="n">
        <v>56.39</v>
      </c>
    </row>
    <row r="7">
      <c r="A7" t="inlineStr">
        <is>
          <t>May</t>
        </is>
      </c>
      <c r="B7" t="n">
        <v>-3.62</v>
      </c>
      <c r="C7" t="n">
        <v>18.99</v>
      </c>
      <c r="D7" t="n">
        <v>60.8</v>
      </c>
    </row>
    <row r="8">
      <c r="A8" t="inlineStr">
        <is>
          <t>June</t>
        </is>
      </c>
      <c r="B8" t="n">
        <v>2.52</v>
      </c>
      <c r="C8" t="n">
        <v>-14.04</v>
      </c>
      <c r="D8" t="n">
        <v>57.52</v>
      </c>
    </row>
    <row r="9">
      <c r="A9" t="inlineStr">
        <is>
          <t>July</t>
        </is>
      </c>
      <c r="B9" t="n">
        <v>5.11</v>
      </c>
      <c r="C9" t="n">
        <v>10.87</v>
      </c>
      <c r="D9" t="n">
        <v>59.54</v>
      </c>
    </row>
    <row r="10">
      <c r="A10" t="inlineStr">
        <is>
          <t>August</t>
        </is>
      </c>
      <c r="B10" t="n">
        <v>1.76</v>
      </c>
      <c r="C10" t="n">
        <v>-2.83</v>
      </c>
      <c r="D10" t="n">
        <v>58.2</v>
      </c>
    </row>
    <row r="11">
      <c r="A11" t="inlineStr">
        <is>
          <t>September</t>
        </is>
      </c>
      <c r="B11" t="n">
        <v>-2.48</v>
      </c>
      <c r="C11" t="n">
        <v>20.2</v>
      </c>
      <c r="D11" t="n">
        <v>60.28</v>
      </c>
    </row>
    <row r="12">
      <c r="A12" t="inlineStr">
        <is>
          <t>October</t>
        </is>
      </c>
      <c r="B12" t="n">
        <v>3.91</v>
      </c>
      <c r="C12" t="n">
        <v>3.4</v>
      </c>
      <c r="D12" t="n">
        <v>60.58</v>
      </c>
    </row>
    <row r="13">
      <c r="A13" t="inlineStr">
        <is>
          <t>November</t>
        </is>
      </c>
      <c r="B13" t="n">
        <v>-1.92</v>
      </c>
      <c r="C13" t="n">
        <v>-8.23</v>
      </c>
      <c r="D13" t="n">
        <v>61.83</v>
      </c>
    </row>
    <row r="14">
      <c r="A14" t="inlineStr">
        <is>
          <t>December</t>
        </is>
      </c>
      <c r="B14" t="n">
        <v>2.28</v>
      </c>
      <c r="C14" t="n">
        <v>-10.81</v>
      </c>
      <c r="D14" t="n">
        <v>59.09</v>
      </c>
    </row>
    <row r="16">
      <c r="A16" t="inlineStr">
        <is>
          <t>Avg Monthly Rev Growth</t>
        </is>
      </c>
      <c r="B16" t="n">
        <v>1.49</v>
      </c>
      <c r="C16" t="inlineStr"/>
      <c r="D16" t="inlineStr"/>
    </row>
    <row r="17">
      <c r="A17" t="inlineStr">
        <is>
          <t>Avg Monthly Pft Growth</t>
        </is>
      </c>
      <c r="B17" t="n">
        <v>1.42</v>
      </c>
      <c r="C17" t="inlineStr"/>
      <c r="D17" t="inlineStr"/>
    </row>
    <row r="18">
      <c r="A18" t="inlineStr">
        <is>
          <t>Full Year Rev Growth</t>
        </is>
      </c>
      <c r="B18" t="n">
        <v>17.14</v>
      </c>
      <c r="C18" t="inlineStr"/>
      <c r="D18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NOVATECH FY2024 — CASH FLOW ANALYSIS</t>
        </is>
      </c>
    </row>
    <row r="2">
      <c r="A2" s="2" t="inlineStr">
        <is>
          <t>Month</t>
        </is>
      </c>
      <c r="B2" s="2" t="inlineStr">
        <is>
          <t>Operating CF</t>
        </is>
      </c>
      <c r="C2" s="2" t="inlineStr">
        <is>
          <t>Investing CF</t>
        </is>
      </c>
      <c r="D2" s="2" t="inlineStr">
        <is>
          <t>Financing CF</t>
        </is>
      </c>
      <c r="E2" s="2" t="inlineStr">
        <is>
          <t>Net Cash Flow</t>
        </is>
      </c>
    </row>
    <row r="3">
      <c r="A3" t="inlineStr">
        <is>
          <t>January</t>
        </is>
      </c>
      <c r="B3" t="n">
        <v>549265.14</v>
      </c>
      <c r="C3" t="n">
        <v>-254895.06</v>
      </c>
      <c r="D3" t="n">
        <v>32534.76</v>
      </c>
      <c r="E3" t="n">
        <v>326904.84</v>
      </c>
    </row>
    <row r="4">
      <c r="A4" t="inlineStr">
        <is>
          <t>February</t>
        </is>
      </c>
      <c r="B4" t="n">
        <v>507578.04</v>
      </c>
      <c r="C4" t="n">
        <v>-275887.22</v>
      </c>
      <c r="D4" t="n">
        <v>-172925.36</v>
      </c>
      <c r="E4" t="n">
        <v>58765.46</v>
      </c>
    </row>
    <row r="5">
      <c r="A5" t="inlineStr">
        <is>
          <t>March</t>
        </is>
      </c>
      <c r="B5" t="n">
        <v>529946.39</v>
      </c>
      <c r="C5" t="n">
        <v>-206702.28</v>
      </c>
      <c r="D5" t="n">
        <v>-105976.9</v>
      </c>
      <c r="E5" t="n">
        <v>217267.21</v>
      </c>
    </row>
    <row r="6">
      <c r="A6" t="inlineStr">
        <is>
          <t>April</t>
        </is>
      </c>
      <c r="B6" t="n">
        <v>599700.25</v>
      </c>
      <c r="C6" t="n">
        <v>-215690.91</v>
      </c>
      <c r="D6" t="n">
        <v>41752.48</v>
      </c>
      <c r="E6" t="n">
        <v>425761.82</v>
      </c>
    </row>
    <row r="7">
      <c r="A7" t="inlineStr">
        <is>
          <t>May</t>
        </is>
      </c>
      <c r="B7" t="n">
        <v>573187.6899999999</v>
      </c>
      <c r="C7" t="n">
        <v>-166124.98</v>
      </c>
      <c r="D7" t="n">
        <v>-134597.48</v>
      </c>
      <c r="E7" t="n">
        <v>272465.23</v>
      </c>
    </row>
    <row r="8">
      <c r="A8" t="inlineStr">
        <is>
          <t>June</t>
        </is>
      </c>
      <c r="B8" t="n">
        <v>382044.2</v>
      </c>
      <c r="C8" t="n">
        <v>-346472.84</v>
      </c>
      <c r="D8" t="n">
        <v>-117635.8</v>
      </c>
      <c r="E8" t="n">
        <v>-82064.44</v>
      </c>
    </row>
    <row r="9">
      <c r="A9" t="inlineStr">
        <is>
          <t>July</t>
        </is>
      </c>
      <c r="B9" t="n">
        <v>472512.67</v>
      </c>
      <c r="C9" t="n">
        <v>-184275.02</v>
      </c>
      <c r="D9" t="n">
        <v>-183222.38</v>
      </c>
      <c r="E9" t="n">
        <v>105015.27</v>
      </c>
    </row>
    <row r="10">
      <c r="A10" t="inlineStr">
        <is>
          <t>August</t>
        </is>
      </c>
      <c r="B10" t="n">
        <v>510040.99</v>
      </c>
      <c r="C10" t="n">
        <v>-225095.57</v>
      </c>
      <c r="D10" t="n">
        <v>-166111.6</v>
      </c>
      <c r="E10" t="n">
        <v>118833.82</v>
      </c>
    </row>
    <row r="11">
      <c r="A11" t="inlineStr">
        <is>
          <t>September</t>
        </is>
      </c>
      <c r="B11" t="n">
        <v>513723.51</v>
      </c>
      <c r="C11" t="n">
        <v>-281286.47</v>
      </c>
      <c r="D11" t="n">
        <v>-126095.99</v>
      </c>
      <c r="E11" t="n">
        <v>106341.05</v>
      </c>
    </row>
    <row r="12">
      <c r="A12" t="inlineStr">
        <is>
          <t>October</t>
        </is>
      </c>
      <c r="B12" t="n">
        <v>433320.13</v>
      </c>
      <c r="C12" t="n">
        <v>-203931.69</v>
      </c>
      <c r="D12" t="n">
        <v>-156526.54</v>
      </c>
      <c r="E12" t="n">
        <v>72861.89999999999</v>
      </c>
    </row>
    <row r="13">
      <c r="A13" t="inlineStr">
        <is>
          <t>November</t>
        </is>
      </c>
      <c r="B13" t="n">
        <v>492566.53</v>
      </c>
      <c r="C13" t="n">
        <v>-308065.18</v>
      </c>
      <c r="D13" t="n">
        <v>-107548.58</v>
      </c>
      <c r="E13" t="n">
        <v>76952.77</v>
      </c>
    </row>
    <row r="14">
      <c r="A14" t="inlineStr">
        <is>
          <t>December</t>
        </is>
      </c>
      <c r="B14" t="n">
        <v>543619.28</v>
      </c>
      <c r="C14" t="n">
        <v>-173692.64</v>
      </c>
      <c r="D14" t="n">
        <v>-189557.17</v>
      </c>
      <c r="E14" t="n">
        <v>180369.47</v>
      </c>
    </row>
    <row r="15">
      <c r="A15" s="5" t="inlineStr">
        <is>
          <t>TOTAL</t>
        </is>
      </c>
      <c r="B15" s="5">
        <f>SUM(B3:B14)</f>
        <v/>
      </c>
      <c r="C15" s="5">
        <f>SUM(C3:C14)</f>
        <v/>
      </c>
      <c r="D15" s="5">
        <f>SUM(D3:D14)</f>
        <v/>
      </c>
      <c r="E15" s="5">
        <f>SUM(E3:E14)</f>
        <v/>
      </c>
    </row>
    <row r="17">
      <c r="A17" t="inlineStr">
        <is>
          <t>Opening Balance</t>
        </is>
      </c>
      <c r="B17" t="n">
        <v>7500000</v>
      </c>
    </row>
    <row r="18">
      <c r="A18" t="inlineStr">
        <is>
          <t>Closing Balance</t>
        </is>
      </c>
      <c r="B18" t="n">
        <v>9379474.4</v>
      </c>
    </row>
    <row r="19">
      <c r="A19" t="inlineStr">
        <is>
          <t>Cash Growth %</t>
        </is>
      </c>
      <c r="B19" t="n">
        <v>25.06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NOVATECH FY2024 — ANOMALY DETECTION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Revenue Z-Score</t>
        </is>
      </c>
      <c r="D2" s="2" t="inlineStr">
        <is>
          <t>Net Profit</t>
        </is>
      </c>
      <c r="E2" s="2" t="inlineStr">
        <is>
          <t>Profit Z-Score</t>
        </is>
      </c>
    </row>
    <row r="3">
      <c r="A3" t="inlineStr">
        <is>
          <t>January</t>
        </is>
      </c>
      <c r="B3" t="n">
        <v>4182822.93</v>
      </c>
      <c r="C3" t="n">
        <v>-1.86</v>
      </c>
      <c r="D3" t="n">
        <v>895331.39</v>
      </c>
      <c r="E3" t="n">
        <v>-0.83</v>
      </c>
    </row>
    <row r="4">
      <c r="A4" t="inlineStr">
        <is>
          <t>February</t>
        </is>
      </c>
      <c r="B4" t="n">
        <v>4410073.56</v>
      </c>
      <c r="C4" t="n">
        <v>-0.87</v>
      </c>
      <c r="D4" t="n">
        <v>934839.66</v>
      </c>
      <c r="E4" t="n">
        <v>-0.48</v>
      </c>
    </row>
    <row r="5">
      <c r="A5" t="inlineStr">
        <is>
          <t>March</t>
        </is>
      </c>
      <c r="B5" t="n">
        <v>4425321.53</v>
      </c>
      <c r="C5" t="n">
        <v>-0.8</v>
      </c>
      <c r="D5" t="n">
        <v>847330.1800000001</v>
      </c>
      <c r="E5" t="n">
        <v>-1.25</v>
      </c>
    </row>
    <row r="6">
      <c r="A6" t="inlineStr">
        <is>
          <t>April</t>
        </is>
      </c>
      <c r="B6" t="n">
        <v>4560673.99</v>
      </c>
      <c r="C6" t="n">
        <v>-0.21</v>
      </c>
      <c r="D6" t="n">
        <v>873340.36</v>
      </c>
      <c r="E6" t="n">
        <v>-1.02</v>
      </c>
    </row>
    <row r="7">
      <c r="A7" t="inlineStr">
        <is>
          <t>May</t>
        </is>
      </c>
      <c r="B7" t="n">
        <v>4395771.94</v>
      </c>
      <c r="C7" t="n">
        <v>-0.93</v>
      </c>
      <c r="D7" t="n">
        <v>1039199.77</v>
      </c>
      <c r="E7" t="n">
        <v>0.45</v>
      </c>
    </row>
    <row r="8">
      <c r="A8" t="inlineStr">
        <is>
          <t>June</t>
        </is>
      </c>
      <c r="B8" t="n">
        <v>4506685.92</v>
      </c>
      <c r="C8" t="n">
        <v>-0.45</v>
      </c>
      <c r="D8" t="n">
        <v>893277.6</v>
      </c>
      <c r="E8" t="n">
        <v>-0.85</v>
      </c>
    </row>
    <row r="9">
      <c r="A9" t="inlineStr">
        <is>
          <t>July</t>
        </is>
      </c>
      <c r="B9" t="n">
        <v>4736824.21</v>
      </c>
      <c r="C9" t="n">
        <v>0.5600000000000001</v>
      </c>
      <c r="D9" t="n">
        <v>990374.83</v>
      </c>
      <c r="E9" t="n">
        <v>0.01</v>
      </c>
    </row>
    <row r="10">
      <c r="A10" t="inlineStr">
        <is>
          <t>August</t>
        </is>
      </c>
      <c r="B10" t="n">
        <v>4820039.53</v>
      </c>
      <c r="C10" t="n">
        <v>0.92</v>
      </c>
      <c r="D10" t="n">
        <v>962343.79</v>
      </c>
      <c r="E10" t="n">
        <v>-0.23</v>
      </c>
    </row>
    <row r="11">
      <c r="A11" t="inlineStr">
        <is>
          <t>September</t>
        </is>
      </c>
      <c r="B11" t="n">
        <v>4700338.68</v>
      </c>
      <c r="C11" t="n">
        <v>0.4</v>
      </c>
      <c r="D11" t="n">
        <v>1156784.83</v>
      </c>
      <c r="E11" t="n">
        <v>1.49</v>
      </c>
    </row>
    <row r="12">
      <c r="A12" t="inlineStr">
        <is>
          <t>October</t>
        </is>
      </c>
      <c r="B12" t="n">
        <v>4884150.55</v>
      </c>
      <c r="C12" t="n">
        <v>1.2</v>
      </c>
      <c r="D12" t="n">
        <v>1196091.36</v>
      </c>
      <c r="E12" t="n">
        <v>1.83</v>
      </c>
    </row>
    <row r="13">
      <c r="A13" t="inlineStr">
        <is>
          <t>November</t>
        </is>
      </c>
      <c r="B13" t="n">
        <v>4790235.92</v>
      </c>
      <c r="C13" t="n">
        <v>0.79</v>
      </c>
      <c r="D13" t="n">
        <v>1097616.92</v>
      </c>
      <c r="E13" t="n">
        <v>0.96</v>
      </c>
    </row>
    <row r="14">
      <c r="A14" t="inlineStr">
        <is>
          <t>December</t>
        </is>
      </c>
      <c r="B14" t="n">
        <v>4899662.34</v>
      </c>
      <c r="C14" t="n">
        <v>1.27</v>
      </c>
      <c r="D14" t="n">
        <v>978950.6</v>
      </c>
      <c r="E14" t="n">
        <v>-0.09</v>
      </c>
    </row>
    <row r="16">
      <c r="A16" s="6" t="inlineStr">
        <is>
          <t>No anomalies detected (all Z-scores within ±2)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NOVATECH FY2024 — GROWTH ANALYSIS</t>
        </is>
      </c>
    </row>
    <row r="2">
      <c r="A2" s="2" t="inlineStr">
        <is>
          <t>month</t>
        </is>
      </c>
      <c r="B2" s="2" t="inlineStr">
        <is>
          <t>revenue growth%</t>
        </is>
      </c>
      <c r="C2" s="2" t="inlineStr">
        <is>
          <t>profit growth%</t>
        </is>
      </c>
      <c r="D2" s="2" t="inlineStr">
        <is>
          <t>gross margin%</t>
        </is>
      </c>
    </row>
    <row r="3">
      <c r="A3" t="inlineStr">
        <is>
          <t>January</t>
        </is>
      </c>
      <c r="B3" t="inlineStr">
        <is>
          <t>Base</t>
        </is>
      </c>
      <c r="C3" t="inlineStr">
        <is>
          <t>Base</t>
        </is>
      </c>
      <c r="D3" t="n">
        <v>59</v>
      </c>
    </row>
    <row r="4">
      <c r="A4" t="inlineStr">
        <is>
          <t>February</t>
        </is>
      </c>
      <c r="B4" t="n">
        <v>5.43</v>
      </c>
      <c r="C4" t="n">
        <v>4.41</v>
      </c>
      <c r="D4" t="n">
        <v>56.37</v>
      </c>
    </row>
    <row r="5">
      <c r="A5" t="inlineStr">
        <is>
          <t>March</t>
        </is>
      </c>
      <c r="B5" t="n">
        <v>0.35</v>
      </c>
      <c r="C5" t="n">
        <v>-9.359999999999999</v>
      </c>
      <c r="D5" t="n">
        <v>57.15</v>
      </c>
    </row>
    <row r="6">
      <c r="A6" t="inlineStr">
        <is>
          <t>April</t>
        </is>
      </c>
      <c r="B6" t="n">
        <v>3.06</v>
      </c>
      <c r="C6" t="n">
        <v>3.07</v>
      </c>
      <c r="D6" t="n">
        <v>56.39</v>
      </c>
    </row>
    <row r="7">
      <c r="A7" t="inlineStr">
        <is>
          <t>May</t>
        </is>
      </c>
      <c r="B7" t="n">
        <v>-3.62</v>
      </c>
      <c r="C7" t="n">
        <v>18.99</v>
      </c>
      <c r="D7" t="n">
        <v>60.8</v>
      </c>
    </row>
    <row r="8">
      <c r="A8" t="inlineStr">
        <is>
          <t>June</t>
        </is>
      </c>
      <c r="B8" t="n">
        <v>2.52</v>
      </c>
      <c r="C8" t="n">
        <v>-14.04</v>
      </c>
      <c r="D8" t="n">
        <v>57.52</v>
      </c>
    </row>
    <row r="9">
      <c r="A9" t="inlineStr">
        <is>
          <t>July</t>
        </is>
      </c>
      <c r="B9" t="n">
        <v>5.11</v>
      </c>
      <c r="C9" t="n">
        <v>10.87</v>
      </c>
      <c r="D9" t="n">
        <v>59.54</v>
      </c>
    </row>
    <row r="10">
      <c r="A10" t="inlineStr">
        <is>
          <t>August</t>
        </is>
      </c>
      <c r="B10" t="n">
        <v>1.76</v>
      </c>
      <c r="C10" t="n">
        <v>-2.83</v>
      </c>
      <c r="D10" t="n">
        <v>58.2</v>
      </c>
    </row>
    <row r="11">
      <c r="A11" t="inlineStr">
        <is>
          <t>September</t>
        </is>
      </c>
      <c r="B11" t="n">
        <v>-2.48</v>
      </c>
      <c r="C11" t="n">
        <v>20.2</v>
      </c>
      <c r="D11" t="n">
        <v>60.28</v>
      </c>
    </row>
    <row r="12">
      <c r="A12" t="inlineStr">
        <is>
          <t>October</t>
        </is>
      </c>
      <c r="B12" t="n">
        <v>3.91</v>
      </c>
      <c r="C12" t="n">
        <v>3.4</v>
      </c>
      <c r="D12" t="n">
        <v>60.58</v>
      </c>
    </row>
    <row r="13">
      <c r="A13" t="inlineStr">
        <is>
          <t>November</t>
        </is>
      </c>
      <c r="B13" t="n">
        <v>-1.92</v>
      </c>
      <c r="C13" t="n">
        <v>-8.23</v>
      </c>
      <c r="D13" t="n">
        <v>61.83</v>
      </c>
    </row>
    <row r="14">
      <c r="A14" t="inlineStr">
        <is>
          <t>December</t>
        </is>
      </c>
      <c r="B14" t="n">
        <v>2.28</v>
      </c>
      <c r="C14" t="n">
        <v>-10.81</v>
      </c>
      <c r="D14" t="n">
        <v>59.09</v>
      </c>
    </row>
    <row r="16">
      <c r="A16" t="inlineStr">
        <is>
          <t>Avg Monthly Rev Growth</t>
        </is>
      </c>
      <c r="B16" t="n">
        <v>1.49</v>
      </c>
      <c r="C16" t="inlineStr"/>
      <c r="D16" t="inlineStr"/>
    </row>
    <row r="17">
      <c r="A17" t="inlineStr">
        <is>
          <t>Avg Monthly Pft Growth</t>
        </is>
      </c>
      <c r="B17" t="n">
        <v>1.42</v>
      </c>
      <c r="C17" t="inlineStr"/>
      <c r="D17" t="inlineStr"/>
    </row>
    <row r="18">
      <c r="A18" t="inlineStr">
        <is>
          <t>Full Year Rev Growth</t>
        </is>
      </c>
      <c r="B18" t="n">
        <v>17.14</v>
      </c>
      <c r="C18" t="inlineStr"/>
      <c r="D18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NOVATECH FY2024 — CASH FLOW ANALYSIS</t>
        </is>
      </c>
    </row>
    <row r="2">
      <c r="A2" s="2" t="inlineStr">
        <is>
          <t>Month</t>
        </is>
      </c>
      <c r="B2" s="2" t="inlineStr">
        <is>
          <t>Operating CF</t>
        </is>
      </c>
      <c r="C2" s="2" t="inlineStr">
        <is>
          <t>Investing CF</t>
        </is>
      </c>
      <c r="D2" s="2" t="inlineStr">
        <is>
          <t>Financing CF</t>
        </is>
      </c>
      <c r="E2" s="2" t="inlineStr">
        <is>
          <t>Net Cash Flow</t>
        </is>
      </c>
    </row>
    <row r="3">
      <c r="A3" t="inlineStr">
        <is>
          <t>January</t>
        </is>
      </c>
      <c r="B3" t="n">
        <v>549265.14</v>
      </c>
      <c r="C3" t="n">
        <v>-254895.06</v>
      </c>
      <c r="D3" t="n">
        <v>32534.76</v>
      </c>
      <c r="E3" t="n">
        <v>326904.84</v>
      </c>
    </row>
    <row r="4">
      <c r="A4" t="inlineStr">
        <is>
          <t>February</t>
        </is>
      </c>
      <c r="B4" t="n">
        <v>507578.04</v>
      </c>
      <c r="C4" t="n">
        <v>-275887.22</v>
      </c>
      <c r="D4" t="n">
        <v>-172925.36</v>
      </c>
      <c r="E4" t="n">
        <v>58765.46</v>
      </c>
    </row>
    <row r="5">
      <c r="A5" t="inlineStr">
        <is>
          <t>March</t>
        </is>
      </c>
      <c r="B5" t="n">
        <v>529946.39</v>
      </c>
      <c r="C5" t="n">
        <v>-206702.28</v>
      </c>
      <c r="D5" t="n">
        <v>-105976.9</v>
      </c>
      <c r="E5" t="n">
        <v>217267.21</v>
      </c>
    </row>
    <row r="6">
      <c r="A6" t="inlineStr">
        <is>
          <t>April</t>
        </is>
      </c>
      <c r="B6" t="n">
        <v>599700.25</v>
      </c>
      <c r="C6" t="n">
        <v>-215690.91</v>
      </c>
      <c r="D6" t="n">
        <v>41752.48</v>
      </c>
      <c r="E6" t="n">
        <v>425761.82</v>
      </c>
    </row>
    <row r="7">
      <c r="A7" t="inlineStr">
        <is>
          <t>May</t>
        </is>
      </c>
      <c r="B7" t="n">
        <v>573187.6899999999</v>
      </c>
      <c r="C7" t="n">
        <v>-166124.98</v>
      </c>
      <c r="D7" t="n">
        <v>-134597.48</v>
      </c>
      <c r="E7" t="n">
        <v>272465.23</v>
      </c>
    </row>
    <row r="8">
      <c r="A8" t="inlineStr">
        <is>
          <t>June</t>
        </is>
      </c>
      <c r="B8" t="n">
        <v>382044.2</v>
      </c>
      <c r="C8" t="n">
        <v>-346472.84</v>
      </c>
      <c r="D8" t="n">
        <v>-117635.8</v>
      </c>
      <c r="E8" t="n">
        <v>-82064.44</v>
      </c>
    </row>
    <row r="9">
      <c r="A9" t="inlineStr">
        <is>
          <t>July</t>
        </is>
      </c>
      <c r="B9" t="n">
        <v>472512.67</v>
      </c>
      <c r="C9" t="n">
        <v>-184275.02</v>
      </c>
      <c r="D9" t="n">
        <v>-183222.38</v>
      </c>
      <c r="E9" t="n">
        <v>105015.27</v>
      </c>
    </row>
    <row r="10">
      <c r="A10" t="inlineStr">
        <is>
          <t>August</t>
        </is>
      </c>
      <c r="B10" t="n">
        <v>510040.99</v>
      </c>
      <c r="C10" t="n">
        <v>-225095.57</v>
      </c>
      <c r="D10" t="n">
        <v>-166111.6</v>
      </c>
      <c r="E10" t="n">
        <v>118833.82</v>
      </c>
    </row>
    <row r="11">
      <c r="A11" t="inlineStr">
        <is>
          <t>September</t>
        </is>
      </c>
      <c r="B11" t="n">
        <v>513723.51</v>
      </c>
      <c r="C11" t="n">
        <v>-281286.47</v>
      </c>
      <c r="D11" t="n">
        <v>-126095.99</v>
      </c>
      <c r="E11" t="n">
        <v>106341.05</v>
      </c>
    </row>
    <row r="12">
      <c r="A12" t="inlineStr">
        <is>
          <t>October</t>
        </is>
      </c>
      <c r="B12" t="n">
        <v>433320.13</v>
      </c>
      <c r="C12" t="n">
        <v>-203931.69</v>
      </c>
      <c r="D12" t="n">
        <v>-156526.54</v>
      </c>
      <c r="E12" t="n">
        <v>72861.89999999999</v>
      </c>
    </row>
    <row r="13">
      <c r="A13" t="inlineStr">
        <is>
          <t>November</t>
        </is>
      </c>
      <c r="B13" t="n">
        <v>492566.53</v>
      </c>
      <c r="C13" t="n">
        <v>-308065.18</v>
      </c>
      <c r="D13" t="n">
        <v>-107548.58</v>
      </c>
      <c r="E13" t="n">
        <v>76952.77</v>
      </c>
    </row>
    <row r="14">
      <c r="A14" t="inlineStr">
        <is>
          <t>December</t>
        </is>
      </c>
      <c r="B14" t="n">
        <v>543619.28</v>
      </c>
      <c r="C14" t="n">
        <v>-173692.64</v>
      </c>
      <c r="D14" t="n">
        <v>-189557.17</v>
      </c>
      <c r="E14" t="n">
        <v>180369.47</v>
      </c>
    </row>
    <row r="15">
      <c r="A15" s="5" t="inlineStr">
        <is>
          <t>TOTAL</t>
        </is>
      </c>
      <c r="B15" s="5">
        <f>SUM(B3:B14)</f>
        <v/>
      </c>
      <c r="C15" s="5">
        <f>SUM(C3:C14)</f>
        <v/>
      </c>
      <c r="D15" s="5">
        <f>SUM(D3:D14)</f>
        <v/>
      </c>
      <c r="E15" s="5">
        <f>SUM(E3:E14)</f>
        <v/>
      </c>
    </row>
    <row r="17">
      <c r="A17" t="inlineStr">
        <is>
          <t>Opening Balance</t>
        </is>
      </c>
      <c r="B17" t="n">
        <v>7500000</v>
      </c>
    </row>
    <row r="18">
      <c r="A18" t="inlineStr">
        <is>
          <t>Closing Balance</t>
        </is>
      </c>
      <c r="B18" t="n">
        <v>9379474.4</v>
      </c>
    </row>
    <row r="19">
      <c r="A19" t="inlineStr">
        <is>
          <t>Cash Growth %</t>
        </is>
      </c>
      <c r="B19" t="n">
        <v>25.06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NOVATECH FY2024 — ANOMALY DETECTION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Revenue Z-Score</t>
        </is>
      </c>
      <c r="D2" s="2" t="inlineStr">
        <is>
          <t>Net Profit</t>
        </is>
      </c>
      <c r="E2" s="2" t="inlineStr">
        <is>
          <t>Profit Z-Score</t>
        </is>
      </c>
    </row>
    <row r="3">
      <c r="A3" t="inlineStr">
        <is>
          <t>January</t>
        </is>
      </c>
      <c r="B3" t="n">
        <v>4182822.93</v>
      </c>
      <c r="C3" t="n">
        <v>-1.86</v>
      </c>
      <c r="D3" t="n">
        <v>895331.39</v>
      </c>
      <c r="E3" t="n">
        <v>-0.83</v>
      </c>
    </row>
    <row r="4">
      <c r="A4" t="inlineStr">
        <is>
          <t>February</t>
        </is>
      </c>
      <c r="B4" t="n">
        <v>4410073.56</v>
      </c>
      <c r="C4" t="n">
        <v>-0.87</v>
      </c>
      <c r="D4" t="n">
        <v>934839.66</v>
      </c>
      <c r="E4" t="n">
        <v>-0.48</v>
      </c>
    </row>
    <row r="5">
      <c r="A5" t="inlineStr">
        <is>
          <t>March</t>
        </is>
      </c>
      <c r="B5" t="n">
        <v>4425321.53</v>
      </c>
      <c r="C5" t="n">
        <v>-0.8</v>
      </c>
      <c r="D5" t="n">
        <v>847330.1800000001</v>
      </c>
      <c r="E5" t="n">
        <v>-1.25</v>
      </c>
    </row>
    <row r="6">
      <c r="A6" t="inlineStr">
        <is>
          <t>April</t>
        </is>
      </c>
      <c r="B6" t="n">
        <v>4560673.99</v>
      </c>
      <c r="C6" t="n">
        <v>-0.21</v>
      </c>
      <c r="D6" t="n">
        <v>873340.36</v>
      </c>
      <c r="E6" t="n">
        <v>-1.02</v>
      </c>
    </row>
    <row r="7">
      <c r="A7" t="inlineStr">
        <is>
          <t>May</t>
        </is>
      </c>
      <c r="B7" t="n">
        <v>4395771.94</v>
      </c>
      <c r="C7" t="n">
        <v>-0.93</v>
      </c>
      <c r="D7" t="n">
        <v>1039199.77</v>
      </c>
      <c r="E7" t="n">
        <v>0.45</v>
      </c>
    </row>
    <row r="8">
      <c r="A8" t="inlineStr">
        <is>
          <t>June</t>
        </is>
      </c>
      <c r="B8" t="n">
        <v>4506685.92</v>
      </c>
      <c r="C8" t="n">
        <v>-0.45</v>
      </c>
      <c r="D8" t="n">
        <v>893277.6</v>
      </c>
      <c r="E8" t="n">
        <v>-0.85</v>
      </c>
    </row>
    <row r="9">
      <c r="A9" t="inlineStr">
        <is>
          <t>July</t>
        </is>
      </c>
      <c r="B9" t="n">
        <v>4736824.21</v>
      </c>
      <c r="C9" t="n">
        <v>0.5600000000000001</v>
      </c>
      <c r="D9" t="n">
        <v>990374.83</v>
      </c>
      <c r="E9" t="n">
        <v>0.01</v>
      </c>
    </row>
    <row r="10">
      <c r="A10" t="inlineStr">
        <is>
          <t>August</t>
        </is>
      </c>
      <c r="B10" t="n">
        <v>4820039.53</v>
      </c>
      <c r="C10" t="n">
        <v>0.92</v>
      </c>
      <c r="D10" t="n">
        <v>962343.79</v>
      </c>
      <c r="E10" t="n">
        <v>-0.23</v>
      </c>
    </row>
    <row r="11">
      <c r="A11" t="inlineStr">
        <is>
          <t>September</t>
        </is>
      </c>
      <c r="B11" t="n">
        <v>4700338.68</v>
      </c>
      <c r="C11" t="n">
        <v>0.4</v>
      </c>
      <c r="D11" t="n">
        <v>1156784.83</v>
      </c>
      <c r="E11" t="n">
        <v>1.49</v>
      </c>
    </row>
    <row r="12">
      <c r="A12" t="inlineStr">
        <is>
          <t>October</t>
        </is>
      </c>
      <c r="B12" t="n">
        <v>4884150.55</v>
      </c>
      <c r="C12" t="n">
        <v>1.2</v>
      </c>
      <c r="D12" t="n">
        <v>1196091.36</v>
      </c>
      <c r="E12" t="n">
        <v>1.83</v>
      </c>
    </row>
    <row r="13">
      <c r="A13" t="inlineStr">
        <is>
          <t>November</t>
        </is>
      </c>
      <c r="B13" t="n">
        <v>4790235.92</v>
      </c>
      <c r="C13" t="n">
        <v>0.79</v>
      </c>
      <c r="D13" t="n">
        <v>1097616.92</v>
      </c>
      <c r="E13" t="n">
        <v>0.96</v>
      </c>
    </row>
    <row r="14">
      <c r="A14" t="inlineStr">
        <is>
          <t>December</t>
        </is>
      </c>
      <c r="B14" t="n">
        <v>4899662.34</v>
      </c>
      <c r="C14" t="n">
        <v>1.27</v>
      </c>
      <c r="D14" t="n">
        <v>978950.6</v>
      </c>
      <c r="E14" t="n">
        <v>-0.09</v>
      </c>
    </row>
    <row r="16">
      <c r="A16" s="6" t="inlineStr">
        <is>
          <t>No anomalies detected (all Z-scores within ±2)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NOVATECH FY2024 — GROWTH ANALYSIS</t>
        </is>
      </c>
    </row>
    <row r="2">
      <c r="A2" s="2" t="inlineStr">
        <is>
          <t>month</t>
        </is>
      </c>
      <c r="B2" s="2" t="inlineStr">
        <is>
          <t>revenue growth%</t>
        </is>
      </c>
      <c r="C2" s="2" t="inlineStr">
        <is>
          <t>profit growth%</t>
        </is>
      </c>
      <c r="D2" s="2" t="inlineStr">
        <is>
          <t>gross margin%</t>
        </is>
      </c>
    </row>
    <row r="3">
      <c r="A3" t="inlineStr">
        <is>
          <t>January</t>
        </is>
      </c>
      <c r="B3" t="inlineStr">
        <is>
          <t>Base</t>
        </is>
      </c>
      <c r="C3" t="inlineStr">
        <is>
          <t>Base</t>
        </is>
      </c>
      <c r="D3" t="n">
        <v>59</v>
      </c>
    </row>
    <row r="4">
      <c r="A4" t="inlineStr">
        <is>
          <t>February</t>
        </is>
      </c>
      <c r="B4" t="n">
        <v>5.43</v>
      </c>
      <c r="C4" t="n">
        <v>4.41</v>
      </c>
      <c r="D4" t="n">
        <v>56.37</v>
      </c>
    </row>
    <row r="5">
      <c r="A5" t="inlineStr">
        <is>
          <t>March</t>
        </is>
      </c>
      <c r="B5" t="n">
        <v>0.35</v>
      </c>
      <c r="C5" t="n">
        <v>-9.359999999999999</v>
      </c>
      <c r="D5" t="n">
        <v>57.15</v>
      </c>
    </row>
    <row r="6">
      <c r="A6" t="inlineStr">
        <is>
          <t>April</t>
        </is>
      </c>
      <c r="B6" t="n">
        <v>3.06</v>
      </c>
      <c r="C6" t="n">
        <v>3.07</v>
      </c>
      <c r="D6" t="n">
        <v>56.39</v>
      </c>
    </row>
    <row r="7">
      <c r="A7" t="inlineStr">
        <is>
          <t>May</t>
        </is>
      </c>
      <c r="B7" t="n">
        <v>-3.62</v>
      </c>
      <c r="C7" t="n">
        <v>18.99</v>
      </c>
      <c r="D7" t="n">
        <v>60.8</v>
      </c>
    </row>
    <row r="8">
      <c r="A8" t="inlineStr">
        <is>
          <t>June</t>
        </is>
      </c>
      <c r="B8" t="n">
        <v>2.52</v>
      </c>
      <c r="C8" t="n">
        <v>-14.04</v>
      </c>
      <c r="D8" t="n">
        <v>57.52</v>
      </c>
    </row>
    <row r="9">
      <c r="A9" t="inlineStr">
        <is>
          <t>July</t>
        </is>
      </c>
      <c r="B9" t="n">
        <v>5.11</v>
      </c>
      <c r="C9" t="n">
        <v>10.87</v>
      </c>
      <c r="D9" t="n">
        <v>59.54</v>
      </c>
    </row>
    <row r="10">
      <c r="A10" t="inlineStr">
        <is>
          <t>August</t>
        </is>
      </c>
      <c r="B10" t="n">
        <v>1.76</v>
      </c>
      <c r="C10" t="n">
        <v>-2.83</v>
      </c>
      <c r="D10" t="n">
        <v>58.2</v>
      </c>
    </row>
    <row r="11">
      <c r="A11" t="inlineStr">
        <is>
          <t>September</t>
        </is>
      </c>
      <c r="B11" t="n">
        <v>-2.48</v>
      </c>
      <c r="C11" t="n">
        <v>20.2</v>
      </c>
      <c r="D11" t="n">
        <v>60.28</v>
      </c>
    </row>
    <row r="12">
      <c r="A12" t="inlineStr">
        <is>
          <t>October</t>
        </is>
      </c>
      <c r="B12" t="n">
        <v>3.91</v>
      </c>
      <c r="C12" t="n">
        <v>3.4</v>
      </c>
      <c r="D12" t="n">
        <v>60.58</v>
      </c>
    </row>
    <row r="13">
      <c r="A13" t="inlineStr">
        <is>
          <t>November</t>
        </is>
      </c>
      <c r="B13" t="n">
        <v>-1.92</v>
      </c>
      <c r="C13" t="n">
        <v>-8.23</v>
      </c>
      <c r="D13" t="n">
        <v>61.83</v>
      </c>
    </row>
    <row r="14">
      <c r="A14" t="inlineStr">
        <is>
          <t>December</t>
        </is>
      </c>
      <c r="B14" t="n">
        <v>2.28</v>
      </c>
      <c r="C14" t="n">
        <v>-10.81</v>
      </c>
      <c r="D14" t="n">
        <v>59.09</v>
      </c>
    </row>
    <row r="16">
      <c r="A16" t="inlineStr">
        <is>
          <t>Avg Monthly Rev Growth</t>
        </is>
      </c>
      <c r="B16" t="n">
        <v>1.49</v>
      </c>
      <c r="C16" t="inlineStr"/>
      <c r="D16" t="inlineStr"/>
    </row>
    <row r="17">
      <c r="A17" t="inlineStr">
        <is>
          <t>Avg Monthly Pft Growth</t>
        </is>
      </c>
      <c r="B17" t="n">
        <v>1.42</v>
      </c>
      <c r="C17" t="inlineStr"/>
      <c r="D17" t="inlineStr"/>
    </row>
    <row r="18">
      <c r="A18" t="inlineStr">
        <is>
          <t>Full Year Rev Growth</t>
        </is>
      </c>
      <c r="B18" t="n">
        <v>17.14</v>
      </c>
      <c r="C18" t="inlineStr"/>
      <c r="D18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NOVATECH FY2024 — CASH FLOW ANALYSIS</t>
        </is>
      </c>
    </row>
    <row r="2">
      <c r="A2" s="2" t="inlineStr">
        <is>
          <t>Month</t>
        </is>
      </c>
      <c r="B2" s="2" t="inlineStr">
        <is>
          <t>Operating CF</t>
        </is>
      </c>
      <c r="C2" s="2" t="inlineStr">
        <is>
          <t>Investing CF</t>
        </is>
      </c>
      <c r="D2" s="2" t="inlineStr">
        <is>
          <t>Financing CF</t>
        </is>
      </c>
      <c r="E2" s="2" t="inlineStr">
        <is>
          <t>Net Cash Flow</t>
        </is>
      </c>
    </row>
    <row r="3">
      <c r="A3" t="inlineStr">
        <is>
          <t>January</t>
        </is>
      </c>
      <c r="B3" t="n">
        <v>549265.14</v>
      </c>
      <c r="C3" t="n">
        <v>-254895.06</v>
      </c>
      <c r="D3" t="n">
        <v>32534.76</v>
      </c>
      <c r="E3" t="n">
        <v>326904.84</v>
      </c>
    </row>
    <row r="4">
      <c r="A4" t="inlineStr">
        <is>
          <t>February</t>
        </is>
      </c>
      <c r="B4" t="n">
        <v>507578.04</v>
      </c>
      <c r="C4" t="n">
        <v>-275887.22</v>
      </c>
      <c r="D4" t="n">
        <v>-172925.36</v>
      </c>
      <c r="E4" t="n">
        <v>58765.46</v>
      </c>
    </row>
    <row r="5">
      <c r="A5" t="inlineStr">
        <is>
          <t>March</t>
        </is>
      </c>
      <c r="B5" t="n">
        <v>529946.39</v>
      </c>
      <c r="C5" t="n">
        <v>-206702.28</v>
      </c>
      <c r="D5" t="n">
        <v>-105976.9</v>
      </c>
      <c r="E5" t="n">
        <v>217267.21</v>
      </c>
    </row>
    <row r="6">
      <c r="A6" t="inlineStr">
        <is>
          <t>April</t>
        </is>
      </c>
      <c r="B6" t="n">
        <v>599700.25</v>
      </c>
      <c r="C6" t="n">
        <v>-215690.91</v>
      </c>
      <c r="D6" t="n">
        <v>41752.48</v>
      </c>
      <c r="E6" t="n">
        <v>425761.82</v>
      </c>
    </row>
    <row r="7">
      <c r="A7" t="inlineStr">
        <is>
          <t>May</t>
        </is>
      </c>
      <c r="B7" t="n">
        <v>573187.6899999999</v>
      </c>
      <c r="C7" t="n">
        <v>-166124.98</v>
      </c>
      <c r="D7" t="n">
        <v>-134597.48</v>
      </c>
      <c r="E7" t="n">
        <v>272465.23</v>
      </c>
    </row>
    <row r="8">
      <c r="A8" t="inlineStr">
        <is>
          <t>June</t>
        </is>
      </c>
      <c r="B8" t="n">
        <v>382044.2</v>
      </c>
      <c r="C8" t="n">
        <v>-346472.84</v>
      </c>
      <c r="D8" t="n">
        <v>-117635.8</v>
      </c>
      <c r="E8" t="n">
        <v>-82064.44</v>
      </c>
    </row>
    <row r="9">
      <c r="A9" t="inlineStr">
        <is>
          <t>July</t>
        </is>
      </c>
      <c r="B9" t="n">
        <v>472512.67</v>
      </c>
      <c r="C9" t="n">
        <v>-184275.02</v>
      </c>
      <c r="D9" t="n">
        <v>-183222.38</v>
      </c>
      <c r="E9" t="n">
        <v>105015.27</v>
      </c>
    </row>
    <row r="10">
      <c r="A10" t="inlineStr">
        <is>
          <t>August</t>
        </is>
      </c>
      <c r="B10" t="n">
        <v>510040.99</v>
      </c>
      <c r="C10" t="n">
        <v>-225095.57</v>
      </c>
      <c r="D10" t="n">
        <v>-166111.6</v>
      </c>
      <c r="E10" t="n">
        <v>118833.82</v>
      </c>
    </row>
    <row r="11">
      <c r="A11" t="inlineStr">
        <is>
          <t>September</t>
        </is>
      </c>
      <c r="B11" t="n">
        <v>513723.51</v>
      </c>
      <c r="C11" t="n">
        <v>-281286.47</v>
      </c>
      <c r="D11" t="n">
        <v>-126095.99</v>
      </c>
      <c r="E11" t="n">
        <v>106341.05</v>
      </c>
    </row>
    <row r="12">
      <c r="A12" t="inlineStr">
        <is>
          <t>October</t>
        </is>
      </c>
      <c r="B12" t="n">
        <v>433320.13</v>
      </c>
      <c r="C12" t="n">
        <v>-203931.69</v>
      </c>
      <c r="D12" t="n">
        <v>-156526.54</v>
      </c>
      <c r="E12" t="n">
        <v>72861.89999999999</v>
      </c>
    </row>
    <row r="13">
      <c r="A13" t="inlineStr">
        <is>
          <t>November</t>
        </is>
      </c>
      <c r="B13" t="n">
        <v>492566.53</v>
      </c>
      <c r="C13" t="n">
        <v>-308065.18</v>
      </c>
      <c r="D13" t="n">
        <v>-107548.58</v>
      </c>
      <c r="E13" t="n">
        <v>76952.77</v>
      </c>
    </row>
    <row r="14">
      <c r="A14" t="inlineStr">
        <is>
          <t>December</t>
        </is>
      </c>
      <c r="B14" t="n">
        <v>543619.28</v>
      </c>
      <c r="C14" t="n">
        <v>-173692.64</v>
      </c>
      <c r="D14" t="n">
        <v>-189557.17</v>
      </c>
      <c r="E14" t="n">
        <v>180369.47</v>
      </c>
    </row>
    <row r="15">
      <c r="A15" s="5" t="inlineStr">
        <is>
          <t>TOTAL</t>
        </is>
      </c>
      <c r="B15" s="5">
        <f>SUM(B3:B14)</f>
        <v/>
      </c>
      <c r="C15" s="5">
        <f>SUM(C3:C14)</f>
        <v/>
      </c>
      <c r="D15" s="5">
        <f>SUM(D3:D14)</f>
        <v/>
      </c>
      <c r="E15" s="5">
        <f>SUM(E3:E14)</f>
        <v/>
      </c>
    </row>
    <row r="17">
      <c r="A17" t="inlineStr">
        <is>
          <t>Opening Balance</t>
        </is>
      </c>
      <c r="B17" t="n">
        <v>7500000</v>
      </c>
    </row>
    <row r="18">
      <c r="A18" t="inlineStr">
        <is>
          <t>Closing Balance</t>
        </is>
      </c>
      <c r="B18" t="n">
        <v>9379474.4</v>
      </c>
    </row>
    <row r="19">
      <c r="A19" t="inlineStr">
        <is>
          <t>Cash Growth %</t>
        </is>
      </c>
      <c r="B19" t="n">
        <v>25.06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NOVATECH FY2024 — ANOMALY DETECTION</t>
        </is>
      </c>
    </row>
    <row r="2">
      <c r="A2" s="2" t="inlineStr">
        <is>
          <t>Month</t>
        </is>
      </c>
      <c r="B2" s="2" t="inlineStr">
        <is>
          <t>Revenue</t>
        </is>
      </c>
      <c r="C2" s="2" t="inlineStr">
        <is>
          <t>Revenue Z-Score</t>
        </is>
      </c>
      <c r="D2" s="2" t="inlineStr">
        <is>
          <t>Net Profit</t>
        </is>
      </c>
      <c r="E2" s="2" t="inlineStr">
        <is>
          <t>Profit Z-Score</t>
        </is>
      </c>
    </row>
    <row r="3">
      <c r="A3" t="inlineStr">
        <is>
          <t>January</t>
        </is>
      </c>
      <c r="B3" t="n">
        <v>4182822.93</v>
      </c>
      <c r="C3" t="n">
        <v>-1.86</v>
      </c>
      <c r="D3" t="n">
        <v>895331.39</v>
      </c>
      <c r="E3" t="n">
        <v>-0.83</v>
      </c>
    </row>
    <row r="4">
      <c r="A4" t="inlineStr">
        <is>
          <t>February</t>
        </is>
      </c>
      <c r="B4" t="n">
        <v>4410073.56</v>
      </c>
      <c r="C4" t="n">
        <v>-0.87</v>
      </c>
      <c r="D4" t="n">
        <v>934839.66</v>
      </c>
      <c r="E4" t="n">
        <v>-0.48</v>
      </c>
    </row>
    <row r="5">
      <c r="A5" t="inlineStr">
        <is>
          <t>March</t>
        </is>
      </c>
      <c r="B5" t="n">
        <v>4425321.53</v>
      </c>
      <c r="C5" t="n">
        <v>-0.8</v>
      </c>
      <c r="D5" t="n">
        <v>847330.1800000001</v>
      </c>
      <c r="E5" t="n">
        <v>-1.25</v>
      </c>
    </row>
    <row r="6">
      <c r="A6" t="inlineStr">
        <is>
          <t>April</t>
        </is>
      </c>
      <c r="B6" t="n">
        <v>4560673.99</v>
      </c>
      <c r="C6" t="n">
        <v>-0.21</v>
      </c>
      <c r="D6" t="n">
        <v>873340.36</v>
      </c>
      <c r="E6" t="n">
        <v>-1.02</v>
      </c>
    </row>
    <row r="7">
      <c r="A7" t="inlineStr">
        <is>
          <t>May</t>
        </is>
      </c>
      <c r="B7" t="n">
        <v>4395771.94</v>
      </c>
      <c r="C7" t="n">
        <v>-0.93</v>
      </c>
      <c r="D7" t="n">
        <v>1039199.77</v>
      </c>
      <c r="E7" t="n">
        <v>0.45</v>
      </c>
    </row>
    <row r="8">
      <c r="A8" t="inlineStr">
        <is>
          <t>June</t>
        </is>
      </c>
      <c r="B8" t="n">
        <v>4506685.92</v>
      </c>
      <c r="C8" t="n">
        <v>-0.45</v>
      </c>
      <c r="D8" t="n">
        <v>893277.6</v>
      </c>
      <c r="E8" t="n">
        <v>-0.85</v>
      </c>
    </row>
    <row r="9">
      <c r="A9" t="inlineStr">
        <is>
          <t>July</t>
        </is>
      </c>
      <c r="B9" t="n">
        <v>4736824.21</v>
      </c>
      <c r="C9" t="n">
        <v>0.5600000000000001</v>
      </c>
      <c r="D9" t="n">
        <v>990374.83</v>
      </c>
      <c r="E9" t="n">
        <v>0.01</v>
      </c>
    </row>
    <row r="10">
      <c r="A10" t="inlineStr">
        <is>
          <t>August</t>
        </is>
      </c>
      <c r="B10" t="n">
        <v>4820039.53</v>
      </c>
      <c r="C10" t="n">
        <v>0.92</v>
      </c>
      <c r="D10" t="n">
        <v>962343.79</v>
      </c>
      <c r="E10" t="n">
        <v>-0.23</v>
      </c>
    </row>
    <row r="11">
      <c r="A11" t="inlineStr">
        <is>
          <t>September</t>
        </is>
      </c>
      <c r="B11" t="n">
        <v>4700338.68</v>
      </c>
      <c r="C11" t="n">
        <v>0.4</v>
      </c>
      <c r="D11" t="n">
        <v>1156784.83</v>
      </c>
      <c r="E11" t="n">
        <v>1.49</v>
      </c>
    </row>
    <row r="12">
      <c r="A12" t="inlineStr">
        <is>
          <t>October</t>
        </is>
      </c>
      <c r="B12" t="n">
        <v>4884150.55</v>
      </c>
      <c r="C12" t="n">
        <v>1.2</v>
      </c>
      <c r="D12" t="n">
        <v>1196091.36</v>
      </c>
      <c r="E12" t="n">
        <v>1.83</v>
      </c>
    </row>
    <row r="13">
      <c r="A13" t="inlineStr">
        <is>
          <t>November</t>
        </is>
      </c>
      <c r="B13" t="n">
        <v>4790235.92</v>
      </c>
      <c r="C13" t="n">
        <v>0.79</v>
      </c>
      <c r="D13" t="n">
        <v>1097616.92</v>
      </c>
      <c r="E13" t="n">
        <v>0.96</v>
      </c>
    </row>
    <row r="14">
      <c r="A14" t="inlineStr">
        <is>
          <t>December</t>
        </is>
      </c>
      <c r="B14" t="n">
        <v>4899662.34</v>
      </c>
      <c r="C14" t="n">
        <v>1.27</v>
      </c>
      <c r="D14" t="n">
        <v>978950.6</v>
      </c>
      <c r="E14" t="n">
        <v>-0.09</v>
      </c>
    </row>
    <row r="16">
      <c r="A16" s="6" t="inlineStr">
        <is>
          <t>No anomalies detected (all Z-scores within ±2)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2026-05-16T20:26:54Z</dcterms:created>
  <dcterms:modified xsi:type="dcterms:W3CDTF">2026-05-16T20:26:54Z</dcterms:modified>
</cp:coreProperties>
</file>